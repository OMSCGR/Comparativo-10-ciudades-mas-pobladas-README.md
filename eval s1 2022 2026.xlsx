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Homicidios" sheetId="2" state="visible" r:id="rId4"/>
    <sheet name="Robos mayor connotación" sheetId="3" state="visible" r:id="rId5"/>
    <sheet name="Extorsion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<sst xmlns="http://schemas.openxmlformats.org/spreadsheetml/2006/main" count="88" uniqueCount="44">
  <si>
    <t xml:space="preserve">Evaluación comparativa — primer semestre 2022-2026</t>
  </si>
  <si>
    <t xml:space="preserve">10 ciudades más pobladas del Ecuador · homicidios intencionales, robos de mayor connotación y extorsiones</t>
  </si>
  <si>
    <t xml:space="preserve">Contenido</t>
  </si>
  <si>
    <t xml:space="preserve">→ Homicidios</t>
  </si>
  <si>
    <t xml:space="preserve">Homicidios intencionales (homicidio, asesinato, femicidio, sicariato) — enero-junio, 2022-2026</t>
  </si>
  <si>
    <t xml:space="preserve">→ Robos</t>
  </si>
  <si>
    <t xml:space="preserve">Robos de mayor connotación (a personas, motos, carros, domicilios, unidades económicas, autopartes) — enero-junio, 2022-2026</t>
  </si>
  <si>
    <t xml:space="preserve">→ Extorsiones</t>
  </si>
  <si>
    <t xml:space="preserve">Extorsiones registradas — enero-junio, 2022-2026</t>
  </si>
  <si>
    <t xml:space="preserve">Fuente de los datos</t>
  </si>
  <si>
    <t xml:space="preserve">Ministerio del Interior / Fiscalía General del Estado — bases nacionales de homicidios intencionales y de delitos contra la propiedad (robos y extorsiones), 2022-2026.</t>
  </si>
  <si>
    <t xml:space="preserve">Población de referencia</t>
  </si>
  <si>
    <t xml:space="preserve">Población base: Censo de Población y Vivienda 2022 (INEC), por cantón. Para la tasa del primer semestre de 2026 se proyecta esa población base con la tasa de crecimiento anual del recuadro de abajo, al no existir proyecciones cantonales oficiales posteriores al censo. Es un supuesto simplificado y uniforme para las 10 ciudades; el crecimiento real varía por cantón (p. ej. Durán probablemente crece más rápido que el promedio).</t>
  </si>
  <si>
    <t xml:space="preserve">Tasa de crecimiento poblacional anual asumida</t>
  </si>
  <si>
    <t xml:space="preserve">Nota metodológica</t>
  </si>
  <si>
    <t xml:space="preserve">"Primer semestre" = enero a junio de cada año (mes calculado a partir de fecha_infraccion, no de la variable MES en texto). El corte de datos disponible llega hasta el 30/06/2026, por lo que 2026 sí tiene semestre completo y es comparable con los años anteriores.</t>
  </si>
  <si>
    <t xml:space="preserve">Homicidios intencionales — enero-junio, 2022-2026</t>
  </si>
  <si>
    <t xml:space="preserve">Incluye: homicidio, asesinato, femicidio, sicariato</t>
  </si>
  <si>
    <t xml:space="preserve">Ciudad</t>
  </si>
  <si>
    <t xml:space="preserve">Población base
(Censo 2022)</t>
  </si>
  <si>
    <t xml:space="preserve">Primer
semestre 2022
(casos)</t>
  </si>
  <si>
    <t xml:space="preserve">Primer
semestre 2023
(casos)</t>
  </si>
  <si>
    <t xml:space="preserve">Primer
semestre 2024
(casos)</t>
  </si>
  <si>
    <t xml:space="preserve">Primer
semestre 2025
(casos)</t>
  </si>
  <si>
    <t xml:space="preserve">Primer
semestre 2026
(casos)</t>
  </si>
  <si>
    <t xml:space="preserve">Var. %
2025→2026</t>
  </si>
  <si>
    <t xml:space="preserve">Var. %
2022→2026</t>
  </si>
  <si>
    <t xml:space="preserve">Población
proyectada 2026</t>
  </si>
  <si>
    <t xml:space="preserve">Tasa x100k
hab. primer
semestre 2026</t>
  </si>
  <si>
    <t xml:space="preserve">Guayaquil</t>
  </si>
  <si>
    <t xml:space="preserve">Quito</t>
  </si>
  <si>
    <t xml:space="preserve">Cuenca</t>
  </si>
  <si>
    <t xml:space="preserve">Santo Domingo</t>
  </si>
  <si>
    <t xml:space="preserve">Ambato</t>
  </si>
  <si>
    <t xml:space="preserve">Portoviejo</t>
  </si>
  <si>
    <t xml:space="preserve">Duran</t>
  </si>
  <si>
    <t xml:space="preserve">Machala</t>
  </si>
  <si>
    <t xml:space="preserve">Manta</t>
  </si>
  <si>
    <t xml:space="preserve">Riobamba</t>
  </si>
  <si>
    <t xml:space="preserve">TOTAL 10 ciudades</t>
  </si>
  <si>
    <t xml:space="preserve">Robos de mayor connotación — enero-junio, 2022-2026</t>
  </si>
  <si>
    <t xml:space="preserve">Incluye: a personas, a motos, a carros, a domicilios, a unidades económicas, de autopartes</t>
  </si>
  <si>
    <t xml:space="preserve">Extorsiones — enero-junio, 2022-2026</t>
  </si>
  <si>
    <t xml:space="preserve">Casos registrados de extorsión</t>
  </si>
</sst>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5"/>
      <color rgb="FF1F3A5F"/>
      <name val="Arial"/>
      <family val="0"/>
      <charset val="1"/>
    </font>
    <font>
      <i val="true"/>
      <sz val="9"/>
      <color rgb="FF666666"/>
      <name val="Arial"/>
      <family val="0"/>
      <charset val="1"/>
    </font>
    <font>
      <b val="true"/>
      <sz val="10"/>
      <name val="Arial"/>
      <family val="0"/>
      <charset val="1"/>
    </font>
    <font>
      <b val="true"/>
      <sz val="10"/>
      <color rgb="FF1F3A5F"/>
      <name val="Arial"/>
      <family val="0"/>
      <charset val="1"/>
    </font>
    <font>
      <sz val="10"/>
      <name val="Arial"/>
      <family val="0"/>
      <charset val="1"/>
    </font>
    <font>
      <b val="true"/>
      <sz val="11"/>
      <color rgb="FF0000FF"/>
      <name val="Arial"/>
      <family val="0"/>
      <charset val="1"/>
    </font>
    <font>
      <b val="true"/>
      <sz val="14"/>
      <color rgb="FF1F3A5F"/>
      <name val="Arial"/>
      <family val="0"/>
      <charset val="1"/>
    </font>
    <font>
      <b val="true"/>
      <sz val="10"/>
      <color rgb="FFFFFFFF"/>
      <name val="Arial"/>
      <family val="0"/>
      <charset val="1"/>
    </font>
    <font>
      <sz val="10"/>
      <color rgb="FF0000FF"/>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A5F"/>
        <bgColor rgb="FF333333"/>
      </patternFill>
    </fill>
  </fills>
  <borders count="3">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right/>
      <top style="double">
        <color rgb="FF1F3A5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7" fontId="6"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E4"/>
        </patternFill>
      </fill>
    </dxf>
    <dxf>
      <fill>
        <patternFill>
          <bgColor rgb="FFE2F0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F0E4"/>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4"/>
    <col collapsed="false" customWidth="true" hidden="false" outlineLevel="0" max="9" min="4" style="0" width="10"/>
  </cols>
  <sheetData>
    <row r="2" customFormat="false" ht="18.55" hidden="false" customHeight="fals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15" hidden="false" customHeight="false" outlineLevel="0" collapsed="false">
      <c r="B5" s="3" t="s">
        <v>2</v>
      </c>
    </row>
    <row r="6" customFormat="false" ht="15" hidden="false" customHeight="false" outlineLevel="0" collapsed="false">
      <c r="B6" s="4" t="s">
        <v>3</v>
      </c>
      <c r="C6" s="5" t="s">
        <v>4</v>
      </c>
      <c r="D6" s="5"/>
      <c r="E6" s="5"/>
      <c r="F6" s="5"/>
      <c r="G6" s="5"/>
      <c r="H6" s="5"/>
    </row>
    <row r="7" customFormat="false" ht="15" hidden="false" customHeight="false" outlineLevel="0" collapsed="false">
      <c r="B7" s="4" t="s">
        <v>5</v>
      </c>
      <c r="C7" s="5" t="s">
        <v>6</v>
      </c>
      <c r="D7" s="5"/>
      <c r="E7" s="5"/>
      <c r="F7" s="5"/>
      <c r="G7" s="5"/>
      <c r="H7" s="5"/>
    </row>
    <row r="8" customFormat="false" ht="15" hidden="false" customHeight="false" outlineLevel="0" collapsed="false">
      <c r="B8" s="4" t="s">
        <v>7</v>
      </c>
      <c r="C8" s="5" t="s">
        <v>8</v>
      </c>
      <c r="D8" s="5"/>
      <c r="E8" s="5"/>
      <c r="F8" s="5"/>
      <c r="G8" s="5"/>
      <c r="H8" s="5"/>
    </row>
    <row r="10" customFormat="false" ht="15" hidden="false" customHeight="false" outlineLevel="0" collapsed="false">
      <c r="B10" s="3" t="s">
        <v>9</v>
      </c>
    </row>
    <row r="11" customFormat="false" ht="15" hidden="false" customHeight="false" outlineLevel="0" collapsed="false">
      <c r="B11" s="5" t="s">
        <v>10</v>
      </c>
      <c r="C11" s="5"/>
      <c r="D11" s="5"/>
      <c r="E11" s="5"/>
      <c r="F11" s="5"/>
      <c r="G11" s="5"/>
      <c r="H11" s="5"/>
      <c r="I11" s="5"/>
    </row>
    <row r="13" customFormat="false" ht="15" hidden="false" customHeight="false" outlineLevel="0" collapsed="false">
      <c r="B13" s="3" t="s">
        <v>11</v>
      </c>
    </row>
    <row r="14" customFormat="false" ht="15" hidden="false" customHeight="false" outlineLevel="0" collapsed="false">
      <c r="B14" s="5" t="s">
        <v>12</v>
      </c>
      <c r="C14" s="5"/>
      <c r="D14" s="5"/>
      <c r="E14" s="5"/>
      <c r="F14" s="5"/>
      <c r="G14" s="5"/>
      <c r="H14" s="5"/>
      <c r="I14" s="5"/>
    </row>
    <row r="16" customFormat="false" ht="15" hidden="false" customHeight="false" outlineLevel="0" collapsed="false">
      <c r="B16" s="3" t="s">
        <v>13</v>
      </c>
      <c r="C16" s="6" t="n">
        <v>0.015</v>
      </c>
    </row>
    <row r="18" customFormat="false" ht="15" hidden="false" customHeight="false" outlineLevel="0" collapsed="false">
      <c r="B18" s="3" t="s">
        <v>14</v>
      </c>
    </row>
    <row r="19" customFormat="false" ht="15" hidden="false" customHeight="false" outlineLevel="0" collapsed="false">
      <c r="B19" s="5" t="s">
        <v>15</v>
      </c>
      <c r="C19" s="5"/>
      <c r="D19" s="5"/>
      <c r="E19" s="5"/>
      <c r="F19" s="5"/>
      <c r="G19" s="5"/>
      <c r="H19" s="5"/>
      <c r="I19" s="5"/>
    </row>
  </sheetData>
  <mergeCells count="8">
    <mergeCell ref="B2:H2"/>
    <mergeCell ref="B3:H3"/>
    <mergeCell ref="C6:H6"/>
    <mergeCell ref="C7:H7"/>
    <mergeCell ref="C8:H8"/>
    <mergeCell ref="B11:I11"/>
    <mergeCell ref="B14:I14"/>
    <mergeCell ref="B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13"/>
    <col collapsed="false" customWidth="true" hidden="false" outlineLevel="0" max="8" min="4" style="0" width="10"/>
    <col collapsed="false" customWidth="true" hidden="false" outlineLevel="0" max="10" min="9" style="0" width="12"/>
    <col collapsed="false" customWidth="true" hidden="false" outlineLevel="0" max="12" min="11" style="0" width="14"/>
  </cols>
  <sheetData>
    <row r="2" customFormat="false" ht="17.35" hidden="false" customHeight="false" outlineLevel="0" collapsed="false">
      <c r="B2" s="7" t="s">
        <v>16</v>
      </c>
      <c r="C2" s="7"/>
      <c r="D2" s="7"/>
      <c r="E2" s="7"/>
      <c r="F2" s="7"/>
      <c r="G2" s="7"/>
      <c r="H2" s="7"/>
      <c r="I2" s="7"/>
      <c r="J2" s="7"/>
      <c r="K2" s="7"/>
      <c r="L2" s="7"/>
      <c r="M2" s="7"/>
    </row>
    <row r="3" customFormat="false" ht="15" hidden="false" customHeight="false" outlineLevel="0" collapsed="false">
      <c r="B3" s="2" t="s">
        <v>17</v>
      </c>
      <c r="C3" s="2"/>
      <c r="D3" s="2"/>
      <c r="E3" s="2"/>
      <c r="F3" s="2"/>
      <c r="G3" s="2"/>
      <c r="H3" s="2"/>
      <c r="I3" s="2"/>
      <c r="J3" s="2"/>
      <c r="K3" s="2"/>
      <c r="L3" s="2"/>
      <c r="M3" s="2"/>
    </row>
    <row r="5" customFormat="false" ht="37.5" hidden="false" customHeight="true" outlineLevel="0" collapsed="false">
      <c r="B5" s="8" t="s">
        <v>18</v>
      </c>
      <c r="C5" s="8" t="s">
        <v>19</v>
      </c>
      <c r="D5" s="8" t="s">
        <v>20</v>
      </c>
      <c r="E5" s="8" t="s">
        <v>21</v>
      </c>
      <c r="F5" s="8" t="s">
        <v>22</v>
      </c>
      <c r="G5" s="8" t="s">
        <v>23</v>
      </c>
      <c r="H5" s="8" t="s">
        <v>24</v>
      </c>
      <c r="I5" s="8" t="s">
        <v>25</v>
      </c>
      <c r="J5" s="8" t="s">
        <v>26</v>
      </c>
      <c r="K5" s="8" t="s">
        <v>27</v>
      </c>
      <c r="L5" s="8" t="s">
        <v>28</v>
      </c>
    </row>
    <row r="6" customFormat="false" ht="15" hidden="false" customHeight="false" outlineLevel="0" collapsed="false">
      <c r="B6" s="9" t="s">
        <v>29</v>
      </c>
      <c r="C6" s="10" t="n">
        <v>2746403</v>
      </c>
      <c r="D6" s="11" t="n">
        <v>624</v>
      </c>
      <c r="E6" s="11" t="n">
        <v>1243</v>
      </c>
      <c r="F6" s="11" t="n">
        <v>842</v>
      </c>
      <c r="G6" s="11" t="n">
        <v>1476</v>
      </c>
      <c r="H6" s="11" t="n">
        <v>1097</v>
      </c>
      <c r="I6" s="12" t="n">
        <f aca="false">IFERROR((H6-G6)/G6,"n/d")</f>
        <v>-0.256775067750678</v>
      </c>
      <c r="J6" s="12" t="n">
        <f aca="false">IFERROR((H6-D6)/D6,"n/d")</f>
        <v>0.758012820512821</v>
      </c>
      <c r="K6" s="11" t="n">
        <f aca="false">C6*(1+Resumen!$C$16)^(2026-2022)</f>
        <v>2914932.03952715</v>
      </c>
      <c r="L6" s="13" t="n">
        <f aca="false">H6/K6*100000</f>
        <v>37.6338105013917</v>
      </c>
    </row>
    <row r="7" customFormat="false" ht="15" hidden="false" customHeight="false" outlineLevel="0" collapsed="false">
      <c r="B7" s="9" t="s">
        <v>30</v>
      </c>
      <c r="C7" s="10" t="n">
        <v>2679722</v>
      </c>
      <c r="D7" s="11" t="n">
        <v>79</v>
      </c>
      <c r="E7" s="11" t="n">
        <v>157</v>
      </c>
      <c r="F7" s="11" t="n">
        <v>105</v>
      </c>
      <c r="G7" s="11" t="n">
        <v>138</v>
      </c>
      <c r="H7" s="11" t="n">
        <v>119</v>
      </c>
      <c r="I7" s="12" t="n">
        <f aca="false">IFERROR((H7-G7)/G7,"n/d")</f>
        <v>-0.13768115942029</v>
      </c>
      <c r="J7" s="12" t="n">
        <f aca="false">IFERROR((H7-D7)/D7,"n/d")</f>
        <v>0.506329113924051</v>
      </c>
      <c r="K7" s="11" t="n">
        <f aca="false">C7*(1+Resumen!$C$16)^(2026-2022)</f>
        <v>2844159.25660793</v>
      </c>
      <c r="L7" s="13" t="n">
        <f aca="false">H7/K7*100000</f>
        <v>4.18401324481122</v>
      </c>
    </row>
    <row r="8" customFormat="false" ht="15" hidden="false" customHeight="false" outlineLevel="0" collapsed="false">
      <c r="B8" s="9" t="s">
        <v>31</v>
      </c>
      <c r="C8" s="10" t="n">
        <v>596101</v>
      </c>
      <c r="D8" s="11" t="n">
        <v>35</v>
      </c>
      <c r="E8" s="11" t="n">
        <v>9</v>
      </c>
      <c r="F8" s="11" t="n">
        <v>11</v>
      </c>
      <c r="G8" s="11" t="n">
        <v>6</v>
      </c>
      <c r="H8" s="11" t="n">
        <v>18</v>
      </c>
      <c r="I8" s="12" t="n">
        <f aca="false">IFERROR((H8-G8)/G8,"n/d")</f>
        <v>2</v>
      </c>
      <c r="J8" s="12" t="n">
        <f aca="false">IFERROR((H8-D8)/D8,"n/d")</f>
        <v>-0.485714285714286</v>
      </c>
      <c r="K8" s="11" t="n">
        <f aca="false">C8*(1+Resumen!$C$16)^(2026-2022)</f>
        <v>632679.873891113</v>
      </c>
      <c r="L8" s="13" t="n">
        <f aca="false">H8/K8*100000</f>
        <v>2.84504071376512</v>
      </c>
    </row>
    <row r="9" customFormat="false" ht="15" hidden="false" customHeight="false" outlineLevel="0" collapsed="false">
      <c r="B9" s="9" t="s">
        <v>32</v>
      </c>
      <c r="C9" s="10" t="n">
        <v>441583</v>
      </c>
      <c r="D9" s="11" t="n">
        <v>103</v>
      </c>
      <c r="E9" s="11" t="n">
        <v>73</v>
      </c>
      <c r="F9" s="11" t="n">
        <v>28</v>
      </c>
      <c r="G9" s="11" t="n">
        <v>52</v>
      </c>
      <c r="H9" s="11" t="n">
        <v>22</v>
      </c>
      <c r="I9" s="12" t="n">
        <f aca="false">IFERROR((H9-G9)/G9,"n/d")</f>
        <v>-0.576923076923077</v>
      </c>
      <c r="J9" s="12" t="n">
        <f aca="false">IFERROR((H9-D9)/D9,"n/d")</f>
        <v>-0.786407766990291</v>
      </c>
      <c r="K9" s="11" t="n">
        <f aca="false">C9*(1+Resumen!$C$16)^(2026-2022)</f>
        <v>468680.100775639</v>
      </c>
      <c r="L9" s="13" t="n">
        <f aca="false">H9/K9*100000</f>
        <v>4.6940332998118</v>
      </c>
    </row>
    <row r="10" customFormat="false" ht="15" hidden="false" customHeight="false" outlineLevel="0" collapsed="false">
      <c r="B10" s="9" t="s">
        <v>33</v>
      </c>
      <c r="C10" s="10" t="n">
        <v>370664</v>
      </c>
      <c r="D10" s="11" t="n">
        <v>13</v>
      </c>
      <c r="E10" s="11" t="n">
        <v>10</v>
      </c>
      <c r="F10" s="11" t="n">
        <v>19</v>
      </c>
      <c r="G10" s="11" t="n">
        <v>24</v>
      </c>
      <c r="H10" s="11" t="n">
        <v>22</v>
      </c>
      <c r="I10" s="12" t="n">
        <f aca="false">IFERROR((H10-G10)/G10,"n/d")</f>
        <v>-0.0833333333333333</v>
      </c>
      <c r="J10" s="12" t="n">
        <f aca="false">IFERROR((H10-D10)/D10,"n/d")</f>
        <v>0.692307692307692</v>
      </c>
      <c r="K10" s="11" t="n">
        <f aca="false">C10*(1+Resumen!$C$16)^(2026-2022)</f>
        <v>393409.259128865</v>
      </c>
      <c r="L10" s="13" t="n">
        <f aca="false">H10/K10*100000</f>
        <v>5.59214087861458</v>
      </c>
    </row>
    <row r="11" customFormat="false" ht="15" hidden="false" customHeight="false" outlineLevel="0" collapsed="false">
      <c r="B11" s="9" t="s">
        <v>34</v>
      </c>
      <c r="C11" s="10" t="n">
        <v>322925</v>
      </c>
      <c r="D11" s="11" t="n">
        <v>43</v>
      </c>
      <c r="E11" s="11" t="n">
        <v>120</v>
      </c>
      <c r="F11" s="11" t="n">
        <v>121</v>
      </c>
      <c r="G11" s="11" t="n">
        <v>167</v>
      </c>
      <c r="H11" s="11" t="n">
        <v>99</v>
      </c>
      <c r="I11" s="12" t="n">
        <f aca="false">IFERROR((H11-G11)/G11,"n/d")</f>
        <v>-0.407185628742515</v>
      </c>
      <c r="J11" s="12" t="n">
        <f aca="false">IFERROR((H11-D11)/D11,"n/d")</f>
        <v>1.30232558139535</v>
      </c>
      <c r="K11" s="11" t="n">
        <f aca="false">C11*(1+Resumen!$C$16)^(2026-2022)</f>
        <v>342740.824585578</v>
      </c>
      <c r="L11" s="13" t="n">
        <f aca="false">H11/K11*100000</f>
        <v>28.884799504029</v>
      </c>
    </row>
    <row r="12" customFormat="false" ht="15" hidden="false" customHeight="false" outlineLevel="0" collapsed="false">
      <c r="B12" s="9" t="s">
        <v>35</v>
      </c>
      <c r="C12" s="10" t="n">
        <v>303910</v>
      </c>
      <c r="D12" s="11" t="n">
        <v>72</v>
      </c>
      <c r="E12" s="11" t="n">
        <v>69</v>
      </c>
      <c r="F12" s="11" t="n">
        <v>240</v>
      </c>
      <c r="G12" s="11" t="n">
        <v>344</v>
      </c>
      <c r="H12" s="11" t="n">
        <v>178</v>
      </c>
      <c r="I12" s="12" t="n">
        <f aca="false">IFERROR((H12-G12)/G12,"n/d")</f>
        <v>-0.482558139534884</v>
      </c>
      <c r="J12" s="12" t="n">
        <f aca="false">IFERROR((H12-D12)/D12,"n/d")</f>
        <v>1.47222222222222</v>
      </c>
      <c r="K12" s="11" t="n">
        <f aca="false">C12*(1+Resumen!$C$16)^(2026-2022)</f>
        <v>322558.996670444</v>
      </c>
      <c r="L12" s="13" t="n">
        <f aca="false">H12/K12*100000</f>
        <v>55.1837033960834</v>
      </c>
    </row>
    <row r="13" customFormat="false" ht="15" hidden="false" customHeight="false" outlineLevel="0" collapsed="false">
      <c r="B13" s="9" t="s">
        <v>36</v>
      </c>
      <c r="C13" s="10" t="n">
        <v>306309</v>
      </c>
      <c r="D13" s="11" t="n">
        <v>59</v>
      </c>
      <c r="E13" s="11" t="n">
        <v>135</v>
      </c>
      <c r="F13" s="11" t="n">
        <v>61</v>
      </c>
      <c r="G13" s="11" t="n">
        <v>139</v>
      </c>
      <c r="H13" s="11" t="n">
        <v>222</v>
      </c>
      <c r="I13" s="12" t="n">
        <f aca="false">IFERROR((H13-G13)/G13,"n/d")</f>
        <v>0.597122302158273</v>
      </c>
      <c r="J13" s="12" t="n">
        <f aca="false">IFERROR((H13-D13)/D13,"n/d")</f>
        <v>2.76271186440678</v>
      </c>
      <c r="K13" s="11" t="n">
        <f aca="false">C13*(1+Resumen!$C$16)^(2026-2022)</f>
        <v>325105.207828393</v>
      </c>
      <c r="L13" s="13" t="n">
        <f aca="false">H13/K13*100000</f>
        <v>68.285587143588</v>
      </c>
    </row>
    <row r="14" customFormat="false" ht="15" hidden="false" customHeight="false" outlineLevel="0" collapsed="false">
      <c r="B14" s="9" t="s">
        <v>37</v>
      </c>
      <c r="C14" s="10" t="n">
        <v>271145</v>
      </c>
      <c r="D14" s="11" t="n">
        <v>38</v>
      </c>
      <c r="E14" s="11" t="n">
        <v>96</v>
      </c>
      <c r="F14" s="11" t="n">
        <v>123</v>
      </c>
      <c r="G14" s="11" t="n">
        <v>185</v>
      </c>
      <c r="H14" s="11" t="n">
        <v>172</v>
      </c>
      <c r="I14" s="12" t="n">
        <f aca="false">IFERROR((H14-G14)/G14,"n/d")</f>
        <v>-0.0702702702702703</v>
      </c>
      <c r="J14" s="12" t="n">
        <f aca="false">IFERROR((H14-D14)/D14,"n/d")</f>
        <v>3.52631578947368</v>
      </c>
      <c r="K14" s="11" t="n">
        <f aca="false">C14*(1+Resumen!$C$16)^(2026-2022)</f>
        <v>287783.419934216</v>
      </c>
      <c r="L14" s="13" t="n">
        <f aca="false">H14/K14*100000</f>
        <v>59.7671679762919</v>
      </c>
    </row>
    <row r="15" customFormat="false" ht="15" hidden="false" customHeight="false" outlineLevel="0" collapsed="false">
      <c r="B15" s="9" t="s">
        <v>38</v>
      </c>
      <c r="C15" s="10" t="n">
        <v>260882</v>
      </c>
      <c r="D15" s="11" t="n">
        <v>3</v>
      </c>
      <c r="E15" s="11" t="n">
        <v>8</v>
      </c>
      <c r="F15" s="11" t="n">
        <v>6</v>
      </c>
      <c r="G15" s="11" t="n">
        <v>6</v>
      </c>
      <c r="H15" s="11" t="n">
        <v>4</v>
      </c>
      <c r="I15" s="12" t="n">
        <f aca="false">IFERROR((H15-G15)/G15,"n/d")</f>
        <v>-0.333333333333333</v>
      </c>
      <c r="J15" s="12" t="n">
        <f aca="false">IFERROR((H15-D15)/D15,"n/d")</f>
        <v>0.333333333333333</v>
      </c>
      <c r="K15" s="11" t="n">
        <f aca="false">C15*(1+Resumen!$C$16)^(2026-2022)</f>
        <v>276890.645814151</v>
      </c>
      <c r="L15" s="13" t="n">
        <f aca="false">H15/K15*100000</f>
        <v>1.44461362652345</v>
      </c>
    </row>
    <row r="16" customFormat="false" ht="15" hidden="false" customHeight="false" outlineLevel="0" collapsed="false">
      <c r="B16" s="14" t="s">
        <v>39</v>
      </c>
      <c r="C16" s="15" t="n">
        <f aca="false">SUM(C6:C15)</f>
        <v>8299644</v>
      </c>
      <c r="D16" s="15" t="n">
        <f aca="false">SUM(D6:D15)</f>
        <v>1069</v>
      </c>
      <c r="E16" s="15" t="n">
        <f aca="false">SUM(E6:E15)</f>
        <v>1920</v>
      </c>
      <c r="F16" s="15" t="n">
        <f aca="false">SUM(F6:F15)</f>
        <v>1556</v>
      </c>
      <c r="G16" s="15" t="n">
        <f aca="false">SUM(G6:G15)</f>
        <v>2537</v>
      </c>
      <c r="H16" s="15" t="n">
        <f aca="false">SUM(H6:H15)</f>
        <v>1953</v>
      </c>
      <c r="I16" s="16" t="n">
        <f aca="false">IFERROR((H16-G16)/G16,"n/d")</f>
        <v>-0.230193141505715</v>
      </c>
      <c r="J16" s="16" t="n">
        <f aca="false">IFERROR((H16-D16)/D16,"n/d")</f>
        <v>0.826941066417212</v>
      </c>
      <c r="K16" s="15" t="n">
        <f aca="false">SUM(K6:K15)</f>
        <v>8808939.62476347</v>
      </c>
      <c r="L16" s="17" t="n">
        <f aca="false">H16/K16*100000</f>
        <v>22.1706593891253</v>
      </c>
    </row>
  </sheetData>
  <mergeCells count="2">
    <mergeCell ref="B2:M2"/>
    <mergeCell ref="B3:M3"/>
  </mergeCells>
  <conditionalFormatting sqref="I6:I1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J6:J1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13"/>
    <col collapsed="false" customWidth="true" hidden="false" outlineLevel="0" max="8" min="4" style="0" width="10"/>
    <col collapsed="false" customWidth="true" hidden="false" outlineLevel="0" max="10" min="9" style="0" width="12"/>
    <col collapsed="false" customWidth="true" hidden="false" outlineLevel="0" max="12" min="11" style="0" width="14"/>
  </cols>
  <sheetData>
    <row r="2" customFormat="false" ht="17.35" hidden="false" customHeight="false" outlineLevel="0" collapsed="false">
      <c r="B2" s="7" t="s">
        <v>40</v>
      </c>
      <c r="C2" s="7"/>
      <c r="D2" s="7"/>
      <c r="E2" s="7"/>
      <c r="F2" s="7"/>
      <c r="G2" s="7"/>
      <c r="H2" s="7"/>
      <c r="I2" s="7"/>
      <c r="J2" s="7"/>
      <c r="K2" s="7"/>
      <c r="L2" s="7"/>
      <c r="M2" s="7"/>
    </row>
    <row r="3" customFormat="false" ht="15" hidden="false" customHeight="false" outlineLevel="0" collapsed="false">
      <c r="B3" s="2" t="s">
        <v>41</v>
      </c>
      <c r="C3" s="2"/>
      <c r="D3" s="2"/>
      <c r="E3" s="2"/>
      <c r="F3" s="2"/>
      <c r="G3" s="2"/>
      <c r="H3" s="2"/>
      <c r="I3" s="2"/>
      <c r="J3" s="2"/>
      <c r="K3" s="2"/>
      <c r="L3" s="2"/>
      <c r="M3" s="2"/>
    </row>
    <row r="5" customFormat="false" ht="37.5" hidden="false" customHeight="true" outlineLevel="0" collapsed="false">
      <c r="B5" s="8" t="s">
        <v>18</v>
      </c>
      <c r="C5" s="8" t="s">
        <v>19</v>
      </c>
      <c r="D5" s="8" t="s">
        <v>20</v>
      </c>
      <c r="E5" s="8" t="s">
        <v>21</v>
      </c>
      <c r="F5" s="8" t="s">
        <v>22</v>
      </c>
      <c r="G5" s="8" t="s">
        <v>23</v>
      </c>
      <c r="H5" s="8" t="s">
        <v>24</v>
      </c>
      <c r="I5" s="8" t="s">
        <v>25</v>
      </c>
      <c r="J5" s="8" t="s">
        <v>26</v>
      </c>
      <c r="K5" s="8" t="s">
        <v>27</v>
      </c>
      <c r="L5" s="8" t="s">
        <v>28</v>
      </c>
    </row>
    <row r="6" customFormat="false" ht="15" hidden="false" customHeight="false" outlineLevel="0" collapsed="false">
      <c r="B6" s="9" t="s">
        <v>29</v>
      </c>
      <c r="C6" s="10" t="n">
        <v>2746403</v>
      </c>
      <c r="D6" s="11" t="n">
        <v>9716</v>
      </c>
      <c r="E6" s="11" t="n">
        <v>11655</v>
      </c>
      <c r="F6" s="11" t="n">
        <v>9797</v>
      </c>
      <c r="G6" s="11" t="n">
        <v>10378</v>
      </c>
      <c r="H6" s="11" t="n">
        <v>6587</v>
      </c>
      <c r="I6" s="12" t="n">
        <f aca="false">IFERROR((H6-G6)/G6,"n/d")</f>
        <v>-0.365291963769512</v>
      </c>
      <c r="J6" s="12" t="n">
        <f aca="false">IFERROR((H6-D6)/D6,"n/d")</f>
        <v>-0.322046109510086</v>
      </c>
      <c r="K6" s="11" t="n">
        <f aca="false">C6*(1+Resumen!$C$16)^(2026-2022)</f>
        <v>2914932.03952715</v>
      </c>
      <c r="L6" s="13" t="n">
        <f aca="false">H6/K6*100000</f>
        <v>225.974393594045</v>
      </c>
    </row>
    <row r="7" customFormat="false" ht="15" hidden="false" customHeight="false" outlineLevel="0" collapsed="false">
      <c r="B7" s="9" t="s">
        <v>30</v>
      </c>
      <c r="C7" s="10" t="n">
        <v>2679722</v>
      </c>
      <c r="D7" s="11" t="n">
        <v>7551</v>
      </c>
      <c r="E7" s="11" t="n">
        <v>6486</v>
      </c>
      <c r="F7" s="11" t="n">
        <v>7447</v>
      </c>
      <c r="G7" s="11" t="n">
        <v>7771</v>
      </c>
      <c r="H7" s="11" t="n">
        <v>6170</v>
      </c>
      <c r="I7" s="12" t="n">
        <f aca="false">IFERROR((H7-G7)/G7,"n/d")</f>
        <v>-0.206022390940677</v>
      </c>
      <c r="J7" s="12" t="n">
        <f aca="false">IFERROR((H7-D7)/D7,"n/d")</f>
        <v>-0.182889683485631</v>
      </c>
      <c r="K7" s="11" t="n">
        <f aca="false">C7*(1+Resumen!$C$16)^(2026-2022)</f>
        <v>2844159.25660793</v>
      </c>
      <c r="L7" s="13" t="n">
        <f aca="false">H7/K7*100000</f>
        <v>216.935812777187</v>
      </c>
    </row>
    <row r="8" customFormat="false" ht="15" hidden="false" customHeight="false" outlineLevel="0" collapsed="false">
      <c r="B8" s="9" t="s">
        <v>31</v>
      </c>
      <c r="C8" s="10" t="n">
        <v>596101</v>
      </c>
      <c r="D8" s="11" t="n">
        <v>954</v>
      </c>
      <c r="E8" s="11" t="n">
        <v>637</v>
      </c>
      <c r="F8" s="11" t="n">
        <v>747</v>
      </c>
      <c r="G8" s="11" t="n">
        <v>823</v>
      </c>
      <c r="H8" s="11" t="n">
        <v>659</v>
      </c>
      <c r="I8" s="12" t="n">
        <f aca="false">IFERROR((H8-G8)/G8,"n/d")</f>
        <v>-0.199270959902795</v>
      </c>
      <c r="J8" s="12" t="n">
        <f aca="false">IFERROR((H8-D8)/D8,"n/d")</f>
        <v>-0.309224318658281</v>
      </c>
      <c r="K8" s="11" t="n">
        <f aca="false">C8*(1+Resumen!$C$16)^(2026-2022)</f>
        <v>632679.873891113</v>
      </c>
      <c r="L8" s="13" t="n">
        <f aca="false">H8/K8*100000</f>
        <v>104.16010168729</v>
      </c>
    </row>
    <row r="9" customFormat="false" ht="15" hidden="false" customHeight="false" outlineLevel="0" collapsed="false">
      <c r="B9" s="9" t="s">
        <v>32</v>
      </c>
      <c r="C9" s="10" t="n">
        <v>441583</v>
      </c>
      <c r="D9" s="11" t="n">
        <v>1223</v>
      </c>
      <c r="E9" s="11" t="n">
        <v>971</v>
      </c>
      <c r="F9" s="11" t="n">
        <v>973</v>
      </c>
      <c r="G9" s="11" t="n">
        <v>716</v>
      </c>
      <c r="H9" s="11" t="n">
        <v>434</v>
      </c>
      <c r="I9" s="12" t="n">
        <f aca="false">IFERROR((H9-G9)/G9,"n/d")</f>
        <v>-0.393854748603352</v>
      </c>
      <c r="J9" s="12" t="n">
        <f aca="false">IFERROR((H9-D9)/D9,"n/d")</f>
        <v>-0.645134914145544</v>
      </c>
      <c r="K9" s="11" t="n">
        <f aca="false">C9*(1+Resumen!$C$16)^(2026-2022)</f>
        <v>468680.100775639</v>
      </c>
      <c r="L9" s="13" t="n">
        <f aca="false">H9/K9*100000</f>
        <v>92.6004750962873</v>
      </c>
    </row>
    <row r="10" customFormat="false" ht="15" hidden="false" customHeight="false" outlineLevel="0" collapsed="false">
      <c r="B10" s="9" t="s">
        <v>33</v>
      </c>
      <c r="C10" s="10" t="n">
        <v>370664</v>
      </c>
      <c r="D10" s="11" t="n">
        <v>569</v>
      </c>
      <c r="E10" s="11" t="n">
        <v>575</v>
      </c>
      <c r="F10" s="11" t="n">
        <v>528</v>
      </c>
      <c r="G10" s="11" t="n">
        <v>452</v>
      </c>
      <c r="H10" s="11" t="n">
        <v>457</v>
      </c>
      <c r="I10" s="12" t="n">
        <f aca="false">IFERROR((H10-G10)/G10,"n/d")</f>
        <v>0.0110619469026549</v>
      </c>
      <c r="J10" s="12" t="n">
        <f aca="false">IFERROR((H10-D10)/D10,"n/d")</f>
        <v>-0.196836555360281</v>
      </c>
      <c r="K10" s="11" t="n">
        <f aca="false">C10*(1+Resumen!$C$16)^(2026-2022)</f>
        <v>393409.259128865</v>
      </c>
      <c r="L10" s="13" t="n">
        <f aca="false">H10/K10*100000</f>
        <v>116.16401734213</v>
      </c>
    </row>
    <row r="11" customFormat="false" ht="15" hidden="false" customHeight="false" outlineLevel="0" collapsed="false">
      <c r="B11" s="9" t="s">
        <v>34</v>
      </c>
      <c r="C11" s="10" t="n">
        <v>322925</v>
      </c>
      <c r="D11" s="11" t="n">
        <v>500</v>
      </c>
      <c r="E11" s="11" t="n">
        <v>676</v>
      </c>
      <c r="F11" s="11" t="n">
        <v>782</v>
      </c>
      <c r="G11" s="11" t="n">
        <v>665</v>
      </c>
      <c r="H11" s="11" t="n">
        <v>557</v>
      </c>
      <c r="I11" s="12" t="n">
        <f aca="false">IFERROR((H11-G11)/G11,"n/d")</f>
        <v>-0.162406015037594</v>
      </c>
      <c r="J11" s="12" t="n">
        <f aca="false">IFERROR((H11-D11)/D11,"n/d")</f>
        <v>0.114</v>
      </c>
      <c r="K11" s="11" t="n">
        <f aca="false">C11*(1+Resumen!$C$16)^(2026-2022)</f>
        <v>342740.824585578</v>
      </c>
      <c r="L11" s="13" t="n">
        <f aca="false">H11/K11*100000</f>
        <v>162.513467916608</v>
      </c>
    </row>
    <row r="12" customFormat="false" ht="15" hidden="false" customHeight="false" outlineLevel="0" collapsed="false">
      <c r="B12" s="9" t="s">
        <v>35</v>
      </c>
      <c r="C12" s="10" t="n">
        <v>303910</v>
      </c>
      <c r="D12" s="11" t="n">
        <v>842</v>
      </c>
      <c r="E12" s="11" t="n">
        <v>958</v>
      </c>
      <c r="F12" s="11" t="n">
        <v>906</v>
      </c>
      <c r="G12" s="11" t="n">
        <v>854</v>
      </c>
      <c r="H12" s="11" t="n">
        <v>514</v>
      </c>
      <c r="I12" s="12" t="n">
        <f aca="false">IFERROR((H12-G12)/G12,"n/d")</f>
        <v>-0.398126463700234</v>
      </c>
      <c r="J12" s="12" t="n">
        <f aca="false">IFERROR((H12-D12)/D12,"n/d")</f>
        <v>-0.389548693586698</v>
      </c>
      <c r="K12" s="11" t="n">
        <f aca="false">C12*(1+Resumen!$C$16)^(2026-2022)</f>
        <v>322558.996670444</v>
      </c>
      <c r="L12" s="13" t="n">
        <f aca="false">H12/K12*100000</f>
        <v>159.350694076331</v>
      </c>
    </row>
    <row r="13" customFormat="false" ht="15" hidden="false" customHeight="false" outlineLevel="0" collapsed="false">
      <c r="B13" s="9" t="s">
        <v>36</v>
      </c>
      <c r="C13" s="10" t="n">
        <v>306309</v>
      </c>
      <c r="D13" s="11" t="n">
        <v>985</v>
      </c>
      <c r="E13" s="11" t="n">
        <v>1406</v>
      </c>
      <c r="F13" s="11" t="n">
        <v>1005</v>
      </c>
      <c r="G13" s="11" t="n">
        <v>947</v>
      </c>
      <c r="H13" s="11" t="n">
        <v>727</v>
      </c>
      <c r="I13" s="12" t="n">
        <f aca="false">IFERROR((H13-G13)/G13,"n/d")</f>
        <v>-0.232312565997888</v>
      </c>
      <c r="J13" s="12" t="n">
        <f aca="false">IFERROR((H13-D13)/D13,"n/d")</f>
        <v>-0.261928934010152</v>
      </c>
      <c r="K13" s="11" t="n">
        <f aca="false">C13*(1+Resumen!$C$16)^(2026-2022)</f>
        <v>325105.207828393</v>
      </c>
      <c r="L13" s="13" t="n">
        <f aca="false">H13/K13*100000</f>
        <v>223.619918258506</v>
      </c>
    </row>
    <row r="14" customFormat="false" ht="15" hidden="false" customHeight="false" outlineLevel="0" collapsed="false">
      <c r="B14" s="9" t="s">
        <v>37</v>
      </c>
      <c r="C14" s="10" t="n">
        <v>271145</v>
      </c>
      <c r="D14" s="11" t="n">
        <v>477</v>
      </c>
      <c r="E14" s="11" t="n">
        <v>701</v>
      </c>
      <c r="F14" s="11" t="n">
        <v>616</v>
      </c>
      <c r="G14" s="11" t="n">
        <v>629</v>
      </c>
      <c r="H14" s="11" t="n">
        <v>489</v>
      </c>
      <c r="I14" s="12" t="n">
        <f aca="false">IFERROR((H14-G14)/G14,"n/d")</f>
        <v>-0.222575516693164</v>
      </c>
      <c r="J14" s="12" t="n">
        <f aca="false">IFERROR((H14-D14)/D14,"n/d")</f>
        <v>0.0251572327044025</v>
      </c>
      <c r="K14" s="11" t="n">
        <f aca="false">C14*(1+Resumen!$C$16)^(2026-2022)</f>
        <v>287783.419934216</v>
      </c>
      <c r="L14" s="13" t="n">
        <f aca="false">H14/K14*100000</f>
        <v>169.919448490737</v>
      </c>
    </row>
    <row r="15" customFormat="false" ht="15" hidden="false" customHeight="false" outlineLevel="0" collapsed="false">
      <c r="B15" s="9" t="s">
        <v>38</v>
      </c>
      <c r="C15" s="10" t="n">
        <v>260882</v>
      </c>
      <c r="D15" s="11" t="n">
        <v>530</v>
      </c>
      <c r="E15" s="11" t="n">
        <v>615</v>
      </c>
      <c r="F15" s="11" t="n">
        <v>564</v>
      </c>
      <c r="G15" s="11" t="n">
        <v>695</v>
      </c>
      <c r="H15" s="11" t="n">
        <v>618</v>
      </c>
      <c r="I15" s="12" t="n">
        <f aca="false">IFERROR((H15-G15)/G15,"n/d")</f>
        <v>-0.110791366906475</v>
      </c>
      <c r="J15" s="12" t="n">
        <f aca="false">IFERROR((H15-D15)/D15,"n/d")</f>
        <v>0.166037735849057</v>
      </c>
      <c r="K15" s="11" t="n">
        <f aca="false">C15*(1+Resumen!$C$16)^(2026-2022)</f>
        <v>276890.645814151</v>
      </c>
      <c r="L15" s="13" t="n">
        <f aca="false">H15/K15*100000</f>
        <v>223.192805297872</v>
      </c>
    </row>
    <row r="16" customFormat="false" ht="15" hidden="false" customHeight="false" outlineLevel="0" collapsed="false">
      <c r="B16" s="14" t="s">
        <v>39</v>
      </c>
      <c r="C16" s="15" t="n">
        <f aca="false">SUM(C6:C15)</f>
        <v>8299644</v>
      </c>
      <c r="D16" s="15" t="n">
        <f aca="false">SUM(D6:D15)</f>
        <v>23347</v>
      </c>
      <c r="E16" s="15" t="n">
        <f aca="false">SUM(E6:E15)</f>
        <v>24680</v>
      </c>
      <c r="F16" s="15" t="n">
        <f aca="false">SUM(F6:F15)</f>
        <v>23365</v>
      </c>
      <c r="G16" s="15" t="n">
        <f aca="false">SUM(G6:G15)</f>
        <v>23930</v>
      </c>
      <c r="H16" s="15" t="n">
        <f aca="false">SUM(H6:H15)</f>
        <v>17212</v>
      </c>
      <c r="I16" s="16" t="n">
        <f aca="false">IFERROR((H16-G16)/G16,"n/d")</f>
        <v>-0.280735478478897</v>
      </c>
      <c r="J16" s="16" t="n">
        <f aca="false">IFERROR((H16-D16)/D16,"n/d")</f>
        <v>-0.26277466055596</v>
      </c>
      <c r="K16" s="15" t="n">
        <f aca="false">SUM(K6:K15)</f>
        <v>8808939.62476347</v>
      </c>
      <c r="L16" s="17" t="n">
        <f aca="false">H16/K16*100000</f>
        <v>195.392416490335</v>
      </c>
    </row>
  </sheetData>
  <mergeCells count="2">
    <mergeCell ref="B2:M2"/>
    <mergeCell ref="B3:M3"/>
  </mergeCells>
  <conditionalFormatting sqref="I6:I1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J6:J1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13"/>
    <col collapsed="false" customWidth="true" hidden="false" outlineLevel="0" max="8" min="4" style="0" width="10"/>
    <col collapsed="false" customWidth="true" hidden="false" outlineLevel="0" max="10" min="9" style="0" width="12"/>
    <col collapsed="false" customWidth="true" hidden="false" outlineLevel="0" max="12" min="11" style="0" width="14"/>
  </cols>
  <sheetData>
    <row r="2" customFormat="false" ht="17.35" hidden="false" customHeight="false" outlineLevel="0" collapsed="false">
      <c r="B2" s="7" t="s">
        <v>42</v>
      </c>
      <c r="C2" s="7"/>
      <c r="D2" s="7"/>
      <c r="E2" s="7"/>
      <c r="F2" s="7"/>
      <c r="G2" s="7"/>
      <c r="H2" s="7"/>
      <c r="I2" s="7"/>
      <c r="J2" s="7"/>
      <c r="K2" s="7"/>
      <c r="L2" s="7"/>
      <c r="M2" s="7"/>
    </row>
    <row r="3" customFormat="false" ht="15" hidden="false" customHeight="false" outlineLevel="0" collapsed="false">
      <c r="B3" s="2" t="s">
        <v>43</v>
      </c>
      <c r="C3" s="2"/>
      <c r="D3" s="2"/>
      <c r="E3" s="2"/>
      <c r="F3" s="2"/>
      <c r="G3" s="2"/>
      <c r="H3" s="2"/>
      <c r="I3" s="2"/>
      <c r="J3" s="2"/>
      <c r="K3" s="2"/>
      <c r="L3" s="2"/>
      <c r="M3" s="2"/>
    </row>
    <row r="5" customFormat="false" ht="37.5" hidden="false" customHeight="true" outlineLevel="0" collapsed="false">
      <c r="B5" s="8" t="s">
        <v>18</v>
      </c>
      <c r="C5" s="8" t="s">
        <v>19</v>
      </c>
      <c r="D5" s="8" t="s">
        <v>20</v>
      </c>
      <c r="E5" s="8" t="s">
        <v>21</v>
      </c>
      <c r="F5" s="8" t="s">
        <v>22</v>
      </c>
      <c r="G5" s="8" t="s">
        <v>23</v>
      </c>
      <c r="H5" s="8" t="s">
        <v>24</v>
      </c>
      <c r="I5" s="8" t="s">
        <v>25</v>
      </c>
      <c r="J5" s="8" t="s">
        <v>26</v>
      </c>
      <c r="K5" s="8" t="s">
        <v>27</v>
      </c>
      <c r="L5" s="8" t="s">
        <v>28</v>
      </c>
    </row>
    <row r="6" customFormat="false" ht="15" hidden="false" customHeight="false" outlineLevel="0" collapsed="false">
      <c r="B6" s="9" t="s">
        <v>29</v>
      </c>
      <c r="C6" s="10" t="n">
        <v>2746403</v>
      </c>
      <c r="D6" s="11" t="n">
        <v>467</v>
      </c>
      <c r="E6" s="11" t="n">
        <v>1740</v>
      </c>
      <c r="F6" s="11" t="n">
        <v>3382</v>
      </c>
      <c r="G6" s="11" t="n">
        <v>2040</v>
      </c>
      <c r="H6" s="11" t="n">
        <v>1262</v>
      </c>
      <c r="I6" s="12" t="n">
        <f aca="false">IFERROR((H6-G6)/G6,"n/d")</f>
        <v>-0.381372549019608</v>
      </c>
      <c r="J6" s="12" t="n">
        <f aca="false">IFERROR((H6-D6)/D6,"n/d")</f>
        <v>1.70235546038544</v>
      </c>
      <c r="K6" s="11" t="n">
        <f aca="false">C6*(1+Resumen!$C$16)^(2026-2022)</f>
        <v>2914932.03952715</v>
      </c>
      <c r="L6" s="13" t="n">
        <f aca="false">H6/K6*100000</f>
        <v>43.294319829313</v>
      </c>
    </row>
    <row r="7" customFormat="false" ht="15" hidden="false" customHeight="false" outlineLevel="0" collapsed="false">
      <c r="B7" s="9" t="s">
        <v>30</v>
      </c>
      <c r="C7" s="10" t="n">
        <v>2679722</v>
      </c>
      <c r="D7" s="11" t="n">
        <v>529</v>
      </c>
      <c r="E7" s="11" t="n">
        <v>978</v>
      </c>
      <c r="F7" s="11" t="n">
        <v>1443</v>
      </c>
      <c r="G7" s="11" t="n">
        <v>967</v>
      </c>
      <c r="H7" s="11" t="n">
        <v>638</v>
      </c>
      <c r="I7" s="12" t="n">
        <f aca="false">IFERROR((H7-G7)/G7,"n/d")</f>
        <v>-0.340227507755946</v>
      </c>
      <c r="J7" s="12" t="n">
        <f aca="false">IFERROR((H7-D7)/D7,"n/d")</f>
        <v>0.206049149338374</v>
      </c>
      <c r="K7" s="11" t="n">
        <f aca="false">C7*(1+Resumen!$C$16)^(2026-2022)</f>
        <v>2844159.25660793</v>
      </c>
      <c r="L7" s="13" t="n">
        <f aca="false">H7/K7*100000</f>
        <v>22.4319365562148</v>
      </c>
    </row>
    <row r="8" customFormat="false" ht="15" hidden="false" customHeight="false" outlineLevel="0" collapsed="false">
      <c r="B8" s="9" t="s">
        <v>31</v>
      </c>
      <c r="C8" s="10" t="n">
        <v>596101</v>
      </c>
      <c r="D8" s="11" t="n">
        <v>188</v>
      </c>
      <c r="E8" s="11" t="n">
        <v>252</v>
      </c>
      <c r="F8" s="11" t="n">
        <v>571</v>
      </c>
      <c r="G8" s="11" t="n">
        <v>177</v>
      </c>
      <c r="H8" s="11" t="n">
        <v>103</v>
      </c>
      <c r="I8" s="12" t="n">
        <f aca="false">IFERROR((H8-G8)/G8,"n/d")</f>
        <v>-0.418079096045198</v>
      </c>
      <c r="J8" s="12" t="n">
        <f aca="false">IFERROR((H8-D8)/D8,"n/d")</f>
        <v>-0.452127659574468</v>
      </c>
      <c r="K8" s="11" t="n">
        <f aca="false">C8*(1+Resumen!$C$16)^(2026-2022)</f>
        <v>632679.873891113</v>
      </c>
      <c r="L8" s="13" t="n">
        <f aca="false">H8/K8*100000</f>
        <v>16.2799551954338</v>
      </c>
    </row>
    <row r="9" customFormat="false" ht="15" hidden="false" customHeight="false" outlineLevel="0" collapsed="false">
      <c r="B9" s="9" t="s">
        <v>32</v>
      </c>
      <c r="C9" s="10" t="n">
        <v>441583</v>
      </c>
      <c r="D9" s="11" t="n">
        <v>20</v>
      </c>
      <c r="E9" s="11" t="n">
        <v>169</v>
      </c>
      <c r="F9" s="11" t="n">
        <v>453</v>
      </c>
      <c r="G9" s="11" t="n">
        <v>144</v>
      </c>
      <c r="H9" s="11" t="n">
        <v>221</v>
      </c>
      <c r="I9" s="12" t="n">
        <f aca="false">IFERROR((H9-G9)/G9,"n/d")</f>
        <v>0.534722222222222</v>
      </c>
      <c r="J9" s="12" t="n">
        <f aca="false">IFERROR((H9-D9)/D9,"n/d")</f>
        <v>10.05</v>
      </c>
      <c r="K9" s="11" t="n">
        <f aca="false">C9*(1+Resumen!$C$16)^(2026-2022)</f>
        <v>468680.100775639</v>
      </c>
      <c r="L9" s="13" t="n">
        <f aca="false">H9/K9*100000</f>
        <v>47.1536981481094</v>
      </c>
    </row>
    <row r="10" customFormat="false" ht="15" hidden="false" customHeight="false" outlineLevel="0" collapsed="false">
      <c r="B10" s="9" t="s">
        <v>33</v>
      </c>
      <c r="C10" s="10" t="n">
        <v>370664</v>
      </c>
      <c r="D10" s="11" t="n">
        <v>25</v>
      </c>
      <c r="E10" s="11" t="n">
        <v>56</v>
      </c>
      <c r="F10" s="11" t="n">
        <v>49</v>
      </c>
      <c r="G10" s="11" t="n">
        <v>23</v>
      </c>
      <c r="H10" s="11" t="n">
        <v>29</v>
      </c>
      <c r="I10" s="12" t="n">
        <f aca="false">IFERROR((H10-G10)/G10,"n/d")</f>
        <v>0.260869565217391</v>
      </c>
      <c r="J10" s="12" t="n">
        <f aca="false">IFERROR((H10-D10)/D10,"n/d")</f>
        <v>0.16</v>
      </c>
      <c r="K10" s="11" t="n">
        <f aca="false">C10*(1+Resumen!$C$16)^(2026-2022)</f>
        <v>393409.259128865</v>
      </c>
      <c r="L10" s="13" t="n">
        <f aca="false">H10/K10*100000</f>
        <v>7.37145843090103</v>
      </c>
    </row>
    <row r="11" customFormat="false" ht="15" hidden="false" customHeight="false" outlineLevel="0" collapsed="false">
      <c r="B11" s="9" t="s">
        <v>34</v>
      </c>
      <c r="C11" s="10" t="n">
        <v>322925</v>
      </c>
      <c r="D11" s="11" t="n">
        <v>71</v>
      </c>
      <c r="E11" s="11" t="n">
        <v>134</v>
      </c>
      <c r="F11" s="11" t="n">
        <v>329</v>
      </c>
      <c r="G11" s="11" t="n">
        <v>171</v>
      </c>
      <c r="H11" s="11" t="n">
        <v>78</v>
      </c>
      <c r="I11" s="12" t="n">
        <f aca="false">IFERROR((H11-G11)/G11,"n/d")</f>
        <v>-0.543859649122807</v>
      </c>
      <c r="J11" s="12" t="n">
        <f aca="false">IFERROR((H11-D11)/D11,"n/d")</f>
        <v>0.0985915492957746</v>
      </c>
      <c r="K11" s="11" t="n">
        <f aca="false">C11*(1+Resumen!$C$16)^(2026-2022)</f>
        <v>342740.824585578</v>
      </c>
      <c r="L11" s="13" t="n">
        <f aca="false">H11/K11*100000</f>
        <v>22.7577208213562</v>
      </c>
    </row>
    <row r="12" customFormat="false" ht="15" hidden="false" customHeight="false" outlineLevel="0" collapsed="false">
      <c r="B12" s="9" t="s">
        <v>35</v>
      </c>
      <c r="C12" s="10" t="n">
        <v>303910</v>
      </c>
      <c r="D12" s="11" t="n">
        <v>35</v>
      </c>
      <c r="E12" s="11" t="n">
        <v>184</v>
      </c>
      <c r="F12" s="11" t="n">
        <v>415</v>
      </c>
      <c r="G12" s="11" t="n">
        <v>216</v>
      </c>
      <c r="H12" s="11" t="n">
        <v>109</v>
      </c>
      <c r="I12" s="12" t="n">
        <f aca="false">IFERROR((H12-G12)/G12,"n/d")</f>
        <v>-0.49537037037037</v>
      </c>
      <c r="J12" s="12" t="n">
        <f aca="false">IFERROR((H12-D12)/D12,"n/d")</f>
        <v>2.11428571428571</v>
      </c>
      <c r="K12" s="11" t="n">
        <f aca="false">C12*(1+Resumen!$C$16)^(2026-2022)</f>
        <v>322558.996670444</v>
      </c>
      <c r="L12" s="13" t="n">
        <f aca="false">H12/K12*100000</f>
        <v>33.7922678099612</v>
      </c>
    </row>
    <row r="13" customFormat="false" ht="15" hidden="false" customHeight="false" outlineLevel="0" collapsed="false">
      <c r="B13" s="9" t="s">
        <v>36</v>
      </c>
      <c r="C13" s="10" t="n">
        <v>306309</v>
      </c>
      <c r="D13" s="11" t="n">
        <v>146</v>
      </c>
      <c r="E13" s="11" t="n">
        <v>361</v>
      </c>
      <c r="F13" s="11" t="n">
        <v>608</v>
      </c>
      <c r="G13" s="11" t="n">
        <v>432</v>
      </c>
      <c r="H13" s="11" t="n">
        <v>416</v>
      </c>
      <c r="I13" s="12" t="n">
        <f aca="false">IFERROR((H13-G13)/G13,"n/d")</f>
        <v>-0.037037037037037</v>
      </c>
      <c r="J13" s="12" t="n">
        <f aca="false">IFERROR((H13-D13)/D13,"n/d")</f>
        <v>1.84931506849315</v>
      </c>
      <c r="K13" s="11" t="n">
        <f aca="false">C13*(1+Resumen!$C$16)^(2026-2022)</f>
        <v>325105.207828393</v>
      </c>
      <c r="L13" s="13" t="n">
        <f aca="false">H13/K13*100000</f>
        <v>127.958577710507</v>
      </c>
    </row>
    <row r="14" customFormat="false" ht="15" hidden="false" customHeight="false" outlineLevel="0" collapsed="false">
      <c r="B14" s="9" t="s">
        <v>37</v>
      </c>
      <c r="C14" s="10" t="n">
        <v>271145</v>
      </c>
      <c r="D14" s="11" t="n">
        <v>46</v>
      </c>
      <c r="E14" s="11" t="n">
        <v>60</v>
      </c>
      <c r="F14" s="11" t="n">
        <v>150</v>
      </c>
      <c r="G14" s="11" t="n">
        <v>85</v>
      </c>
      <c r="H14" s="11" t="n">
        <v>78</v>
      </c>
      <c r="I14" s="12" t="n">
        <f aca="false">IFERROR((H14-G14)/G14,"n/d")</f>
        <v>-0.0823529411764706</v>
      </c>
      <c r="J14" s="12" t="n">
        <f aca="false">IFERROR((H14-D14)/D14,"n/d")</f>
        <v>0.695652173913044</v>
      </c>
      <c r="K14" s="11" t="n">
        <f aca="false">C14*(1+Resumen!$C$16)^(2026-2022)</f>
        <v>287783.419934216</v>
      </c>
      <c r="L14" s="13" t="n">
        <f aca="false">H14/K14*100000</f>
        <v>27.1037157101789</v>
      </c>
    </row>
    <row r="15" customFormat="false" ht="15" hidden="false" customHeight="false" outlineLevel="0" collapsed="false">
      <c r="B15" s="9" t="s">
        <v>38</v>
      </c>
      <c r="C15" s="10" t="n">
        <v>260882</v>
      </c>
      <c r="D15" s="11" t="n">
        <v>59</v>
      </c>
      <c r="E15" s="11" t="n">
        <v>76</v>
      </c>
      <c r="F15" s="11" t="n">
        <v>84</v>
      </c>
      <c r="G15" s="11" t="n">
        <v>35</v>
      </c>
      <c r="H15" s="11" t="n">
        <v>43</v>
      </c>
      <c r="I15" s="12" t="n">
        <f aca="false">IFERROR((H15-G15)/G15,"n/d")</f>
        <v>0.228571428571429</v>
      </c>
      <c r="J15" s="12" t="n">
        <f aca="false">IFERROR((H15-D15)/D15,"n/d")</f>
        <v>-0.271186440677966</v>
      </c>
      <c r="K15" s="11" t="n">
        <f aca="false">C15*(1+Resumen!$C$16)^(2026-2022)</f>
        <v>276890.645814151</v>
      </c>
      <c r="L15" s="13" t="n">
        <f aca="false">H15/K15*100000</f>
        <v>15.529596485127</v>
      </c>
    </row>
    <row r="16" customFormat="false" ht="15" hidden="false" customHeight="false" outlineLevel="0" collapsed="false">
      <c r="B16" s="14" t="s">
        <v>39</v>
      </c>
      <c r="C16" s="15" t="n">
        <f aca="false">SUM(C6:C15)</f>
        <v>8299644</v>
      </c>
      <c r="D16" s="15" t="n">
        <f aca="false">SUM(D6:D15)</f>
        <v>1586</v>
      </c>
      <c r="E16" s="15" t="n">
        <f aca="false">SUM(E6:E15)</f>
        <v>4010</v>
      </c>
      <c r="F16" s="15" t="n">
        <f aca="false">SUM(F6:F15)</f>
        <v>7484</v>
      </c>
      <c r="G16" s="15" t="n">
        <f aca="false">SUM(G6:G15)</f>
        <v>4290</v>
      </c>
      <c r="H16" s="15" t="n">
        <f aca="false">SUM(H6:H15)</f>
        <v>2977</v>
      </c>
      <c r="I16" s="16" t="n">
        <f aca="false">IFERROR((H16-G16)/G16,"n/d")</f>
        <v>-0.306060606060606</v>
      </c>
      <c r="J16" s="16" t="n">
        <f aca="false">IFERROR((H16-D16)/D16,"n/d")</f>
        <v>0.877049180327869</v>
      </c>
      <c r="K16" s="15" t="n">
        <f aca="false">SUM(K6:K15)</f>
        <v>8808939.62476347</v>
      </c>
      <c r="L16" s="17" t="n">
        <f aca="false">H16/K16*100000</f>
        <v>33.795214030428</v>
      </c>
    </row>
  </sheetData>
  <mergeCells count="2">
    <mergeCell ref="B2:M2"/>
    <mergeCell ref="B3:M3"/>
  </mergeCells>
  <conditionalFormatting sqref="I6:I1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J6:J1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2026-07-14T09:25:02Z</dcterms:created>
  <dc:creator>openpyxl</dc:creator>
  <dc:description/>
  <dc:language>en-US</dc:language>
  <cp:lastModifiedBy/>
  <dcterms:modified xsi:type="dcterms:W3CDTF">2026-07-14T09:25:02Z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